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a\Desktop\TestingDocumentation\6.Profile Insights\"/>
    </mc:Choice>
  </mc:AlternateContent>
  <xr:revisionPtr revIDLastSave="0" documentId="13_ncr:1_{8FAB0368-CBC0-4ADC-B3C1-5D2FB4AC1C7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urrent CTC Breakdown" sheetId="1" r:id="rId1"/>
    <sheet name="Salary Growth Projection" sheetId="2" r:id="rId2"/>
  </sheets>
  <calcPr calcId="191029"/>
</workbook>
</file>

<file path=xl/calcChain.xml><?xml version="1.0" encoding="utf-8"?>
<calcChain xmlns="http://schemas.openxmlformats.org/spreadsheetml/2006/main">
  <c r="C9" i="1" l="1"/>
  <c r="C7" i="1"/>
  <c r="H8" i="1" s="1"/>
  <c r="H6" i="1"/>
  <c r="I6" i="1" s="1"/>
  <c r="H5" i="1"/>
  <c r="I5" i="1" s="1"/>
  <c r="H4" i="1"/>
  <c r="I4" i="1" s="1"/>
  <c r="H3" i="1"/>
  <c r="I3" i="1" s="1"/>
  <c r="H2" i="1"/>
  <c r="I2" i="1" s="1"/>
  <c r="I8" i="1" l="1"/>
  <c r="I10" i="1" s="1"/>
  <c r="H10" i="1"/>
  <c r="L8" i="1"/>
  <c r="I7" i="1"/>
  <c r="I13" i="1"/>
  <c r="H7" i="1"/>
  <c r="I11" i="1" l="1"/>
  <c r="I16" i="1"/>
  <c r="B2" i="2" s="1"/>
  <c r="C2" i="2" s="1"/>
  <c r="H11" i="1"/>
  <c r="D2" i="2" s="1"/>
  <c r="D5" i="2" s="1"/>
  <c r="D11" i="2" l="1"/>
  <c r="D6" i="2"/>
  <c r="D7" i="2"/>
  <c r="D12" i="2"/>
  <c r="D3" i="2"/>
  <c r="D14" i="2"/>
  <c r="D9" i="2"/>
  <c r="D4" i="2"/>
  <c r="D13" i="2"/>
  <c r="D8" i="2"/>
  <c r="D10" i="2"/>
  <c r="D15" i="2"/>
  <c r="B4" i="2"/>
  <c r="C4" i="2" s="1"/>
  <c r="B7" i="2"/>
  <c r="C7" i="2" s="1"/>
  <c r="B11" i="2"/>
  <c r="C11" i="2" s="1"/>
  <c r="B15" i="2"/>
  <c r="C15" i="2" s="1"/>
  <c r="B5" i="2"/>
  <c r="C5" i="2" s="1"/>
  <c r="B13" i="2"/>
  <c r="C13" i="2" s="1"/>
  <c r="B6" i="2"/>
  <c r="C6" i="2" s="1"/>
  <c r="B8" i="2"/>
  <c r="C8" i="2" s="1"/>
  <c r="B12" i="2"/>
  <c r="C12" i="2" s="1"/>
  <c r="B3" i="2"/>
  <c r="C3" i="2" s="1"/>
  <c r="B9" i="2"/>
  <c r="C9" i="2" s="1"/>
  <c r="B10" i="2"/>
  <c r="C10" i="2" s="1"/>
  <c r="B14" i="2"/>
  <c r="C14" i="2" s="1"/>
</calcChain>
</file>

<file path=xl/sharedStrings.xml><?xml version="1.0" encoding="utf-8"?>
<sst xmlns="http://schemas.openxmlformats.org/spreadsheetml/2006/main" count="69" uniqueCount="56">
  <si>
    <t>Sl. No</t>
  </si>
  <si>
    <t>Monthly (₹)</t>
  </si>
  <si>
    <t>Annual (₹)</t>
  </si>
  <si>
    <t>Remarks</t>
  </si>
  <si>
    <t>Basic</t>
  </si>
  <si>
    <t>House Rental Allowance (HRA)</t>
  </si>
  <si>
    <t>Special Allowance</t>
  </si>
  <si>
    <t>Advance Statutory Bonus</t>
  </si>
  <si>
    <t>Conveyance Allowance</t>
  </si>
  <si>
    <t>Company’s Contribution to PF</t>
  </si>
  <si>
    <t>—</t>
  </si>
  <si>
    <t>Incentive</t>
  </si>
  <si>
    <t>Company’s Contribution towards Benefits (Medical, Accident &amp; Life Insurance)</t>
  </si>
  <si>
    <t>Raise (%)</t>
  </si>
  <si>
    <t>New CTC (₹ Lakhs)</t>
  </si>
  <si>
    <t>New Monthly In-Hand (₹)</t>
  </si>
  <si>
    <t>Small annual increment</t>
  </si>
  <si>
    <t>Expected realistic range</t>
  </si>
  <si>
    <t>Doubled CTC scenario</t>
  </si>
  <si>
    <t>Category</t>
  </si>
  <si>
    <t>Component</t>
  </si>
  <si>
    <t>Earnings (A)</t>
  </si>
  <si>
    <t>40–45% of total salary</t>
  </si>
  <si>
    <t>House Rent Allowance (HRA)</t>
  </si>
  <si>
    <t>40–50% of Basic</t>
  </si>
  <si>
    <t>Fixed</t>
  </si>
  <si>
    <t>Balance component</t>
  </si>
  <si>
    <t>Fixed statutory component</t>
  </si>
  <si>
    <t>Total Earnings (A)</t>
  </si>
  <si>
    <t>Total before deductions</t>
  </si>
  <si>
    <t>Deductions (B)</t>
  </si>
  <si>
    <t>Provident Fund (Employee Contribution)</t>
  </si>
  <si>
    <t>12% of Basic (Employee PF)</t>
  </si>
  <si>
    <t>TDS (Tax Deducted at Source)</t>
  </si>
  <si>
    <t>No deduction as per payslip</t>
  </si>
  <si>
    <t>Total Deductions (B)</t>
  </si>
  <si>
    <t>Total deductions</t>
  </si>
  <si>
    <t>Net (In-Hand) Salary = (A) - (B)</t>
  </si>
  <si>
    <t>Take-home per month</t>
  </si>
  <si>
    <t>Company Contribution (for info)</t>
  </si>
  <si>
    <t>Employer PF Contribution</t>
  </si>
  <si>
    <t>Part of CTC but not in-hand</t>
  </si>
  <si>
    <t>Insurance (Medical, Accident, Life)</t>
  </si>
  <si>
    <t>Company-paid benefits</t>
  </si>
  <si>
    <t>Total Company Spend (CTC)</t>
  </si>
  <si>
    <t>Total CTC (Earnings + Benefits)</t>
  </si>
  <si>
    <t>In-Hand Salary (lower value)</t>
  </si>
  <si>
    <t>Employee PF Contribution (Recalculation)</t>
  </si>
  <si>
    <t>Input</t>
  </si>
  <si>
    <t>We paying to EPFO</t>
  </si>
  <si>
    <t>Amount</t>
  </si>
  <si>
    <t>Per</t>
  </si>
  <si>
    <t>Month</t>
  </si>
  <si>
    <t>Year</t>
  </si>
  <si>
    <t>Employee's Contribution to PF</t>
  </si>
  <si>
    <t>Insentive/Graduity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</si>
</sst>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3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3" fontId="3" fillId="0" borderId="0" xfId="0" applyNumberFormat="1" applyFont="1" applyAlignment="1">
      <alignment vertical="center"/>
    </xf>
    <xf numFmtId="0" fontId="0" fillId="2" borderId="0" xfId="0" applyFill="1"/>
    <xf numFmtId="3" fontId="0" fillId="2" borderId="0" xfId="0" applyNumberFormat="1" applyFill="1" applyAlignment="1">
      <alignment vertical="center"/>
    </xf>
    <xf numFmtId="3" fontId="1" fillId="0" borderId="0" xfId="0" applyNumberFormat="1" applyFont="1" applyAlignment="1">
      <alignment horizontal="center" vertical="top"/>
    </xf>
    <xf numFmtId="44" fontId="0" fillId="0" borderId="0" xfId="1" applyFont="1"/>
    <xf numFmtId="44" fontId="0" fillId="2" borderId="0" xfId="1" applyFont="1" applyFill="1"/>
    <xf numFmtId="44" fontId="0" fillId="0" borderId="0" xfId="1" applyFont="1" applyFill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2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workbookViewId="0">
      <selection activeCell="I9" sqref="I9"/>
    </sheetView>
  </sheetViews>
  <sheetFormatPr defaultRowHeight="15" x14ac:dyDescent="0.25"/>
  <cols>
    <col min="1" max="1" width="6.140625" bestFit="1" customWidth="1"/>
    <col min="2" max="2" width="44.28515625" style="17" customWidth="1"/>
    <col min="3" max="3" width="11.5703125" bestFit="1" customWidth="1"/>
    <col min="4" max="4" width="10.28515625" bestFit="1" customWidth="1"/>
    <col min="5" max="5" width="18.42578125" bestFit="1" customWidth="1"/>
    <col min="6" max="6" width="30.140625" bestFit="1" customWidth="1"/>
    <col min="7" max="7" width="38.85546875" bestFit="1" customWidth="1"/>
    <col min="8" max="8" width="11.5703125" bestFit="1" customWidth="1"/>
    <col min="9" max="9" width="10.28515625" bestFit="1" customWidth="1"/>
    <col min="10" max="10" width="28.28515625" bestFit="1" customWidth="1"/>
    <col min="11" max="11" width="10.28515625" bestFit="1" customWidth="1"/>
    <col min="12" max="12" width="28.28515625" bestFit="1" customWidth="1"/>
  </cols>
  <sheetData>
    <row r="1" spans="1:12" x14ac:dyDescent="0.25">
      <c r="A1" s="1" t="s">
        <v>0</v>
      </c>
      <c r="B1" s="16" t="s">
        <v>48</v>
      </c>
      <c r="C1" s="1" t="s">
        <v>50</v>
      </c>
      <c r="D1" t="s">
        <v>51</v>
      </c>
      <c r="F1" s="5" t="s">
        <v>19</v>
      </c>
      <c r="G1" s="5" t="s">
        <v>20</v>
      </c>
      <c r="H1" s="5" t="s">
        <v>1</v>
      </c>
      <c r="I1" s="5" t="s">
        <v>2</v>
      </c>
      <c r="J1" s="5" t="s">
        <v>3</v>
      </c>
    </row>
    <row r="2" spans="1:12" x14ac:dyDescent="0.25">
      <c r="A2">
        <v>1</v>
      </c>
      <c r="B2" s="17" t="s">
        <v>4</v>
      </c>
      <c r="C2">
        <v>17500</v>
      </c>
      <c r="D2" t="s">
        <v>52</v>
      </c>
      <c r="F2" s="6" t="s">
        <v>21</v>
      </c>
      <c r="G2" s="7" t="s">
        <v>4</v>
      </c>
      <c r="H2" s="8">
        <f>C2</f>
        <v>17500</v>
      </c>
      <c r="I2" s="11">
        <f>H2*12</f>
        <v>210000</v>
      </c>
      <c r="J2" s="7" t="s">
        <v>22</v>
      </c>
    </row>
    <row r="3" spans="1:12" x14ac:dyDescent="0.25">
      <c r="A3">
        <v>2</v>
      </c>
      <c r="B3" s="17" t="s">
        <v>5</v>
      </c>
      <c r="C3">
        <v>8750</v>
      </c>
      <c r="D3" t="s">
        <v>52</v>
      </c>
      <c r="F3" s="7"/>
      <c r="G3" s="7" t="s">
        <v>23</v>
      </c>
      <c r="H3" s="8">
        <f>C3</f>
        <v>8750</v>
      </c>
      <c r="I3" s="11">
        <f t="shared" ref="I3:I6" si="0">H3*12</f>
        <v>105000</v>
      </c>
      <c r="J3" s="7" t="s">
        <v>24</v>
      </c>
    </row>
    <row r="4" spans="1:12" x14ac:dyDescent="0.25">
      <c r="A4">
        <v>3</v>
      </c>
      <c r="B4" s="17" t="s">
        <v>6</v>
      </c>
      <c r="C4">
        <v>27042</v>
      </c>
      <c r="D4" t="s">
        <v>52</v>
      </c>
      <c r="F4" s="7"/>
      <c r="G4" s="7" t="s">
        <v>8</v>
      </c>
      <c r="H4" s="7">
        <f>C6</f>
        <v>0</v>
      </c>
      <c r="I4" s="11">
        <f t="shared" si="0"/>
        <v>0</v>
      </c>
      <c r="J4" s="7" t="s">
        <v>25</v>
      </c>
    </row>
    <row r="5" spans="1:12" x14ac:dyDescent="0.25">
      <c r="A5">
        <v>4</v>
      </c>
      <c r="B5" s="17" t="s">
        <v>7</v>
      </c>
      <c r="C5">
        <v>1400</v>
      </c>
      <c r="D5" t="s">
        <v>52</v>
      </c>
      <c r="F5" s="7"/>
      <c r="G5" s="7" t="s">
        <v>6</v>
      </c>
      <c r="H5" s="8">
        <f>C4</f>
        <v>27042</v>
      </c>
      <c r="I5" s="11">
        <f t="shared" si="0"/>
        <v>324504</v>
      </c>
      <c r="J5" s="7" t="s">
        <v>26</v>
      </c>
    </row>
    <row r="6" spans="1:12" x14ac:dyDescent="0.25">
      <c r="A6">
        <v>5</v>
      </c>
      <c r="B6" s="17" t="s">
        <v>8</v>
      </c>
      <c r="C6">
        <v>0</v>
      </c>
      <c r="D6" t="s">
        <v>52</v>
      </c>
      <c r="F6" s="7"/>
      <c r="G6" s="7" t="s">
        <v>7</v>
      </c>
      <c r="H6" s="8">
        <f>C5</f>
        <v>1400</v>
      </c>
      <c r="I6" s="11">
        <f t="shared" si="0"/>
        <v>16800</v>
      </c>
      <c r="J6" s="7" t="s">
        <v>27</v>
      </c>
    </row>
    <row r="7" spans="1:12" x14ac:dyDescent="0.25">
      <c r="A7">
        <v>6</v>
      </c>
      <c r="B7" s="17" t="s">
        <v>9</v>
      </c>
      <c r="C7">
        <f>21600/12</f>
        <v>1800</v>
      </c>
      <c r="D7" t="s">
        <v>52</v>
      </c>
      <c r="F7" s="7"/>
      <c r="G7" s="6" t="s">
        <v>28</v>
      </c>
      <c r="H7" s="9">
        <f>SUM(H2:H6)</f>
        <v>54692</v>
      </c>
      <c r="I7" s="9">
        <f>SUM(I2:I6)</f>
        <v>656304</v>
      </c>
      <c r="J7" s="7" t="s">
        <v>29</v>
      </c>
    </row>
    <row r="8" spans="1:12" x14ac:dyDescent="0.25">
      <c r="A8">
        <v>7</v>
      </c>
      <c r="B8" s="17" t="s">
        <v>54</v>
      </c>
      <c r="C8">
        <v>1800</v>
      </c>
      <c r="D8" t="s">
        <v>52</v>
      </c>
      <c r="F8" s="6" t="s">
        <v>30</v>
      </c>
      <c r="G8" s="7" t="s">
        <v>31</v>
      </c>
      <c r="H8" s="8">
        <f>C7</f>
        <v>1800</v>
      </c>
      <c r="I8" s="11">
        <f>H8*12</f>
        <v>21600</v>
      </c>
      <c r="J8" s="7" t="s">
        <v>32</v>
      </c>
      <c r="L8">
        <f>I8*4</f>
        <v>86400</v>
      </c>
    </row>
    <row r="9" spans="1:12" x14ac:dyDescent="0.25">
      <c r="A9">
        <v>7</v>
      </c>
      <c r="B9" s="17" t="s">
        <v>11</v>
      </c>
      <c r="C9">
        <f>20000-9904</f>
        <v>10096</v>
      </c>
      <c r="D9" t="s">
        <v>53</v>
      </c>
      <c r="F9" s="7"/>
      <c r="G9" s="7" t="s">
        <v>33</v>
      </c>
      <c r="H9" s="7">
        <v>1750</v>
      </c>
      <c r="I9" s="7">
        <v>0</v>
      </c>
      <c r="J9" s="7" t="s">
        <v>34</v>
      </c>
    </row>
    <row r="10" spans="1:12" ht="30" x14ac:dyDescent="0.25">
      <c r="A10">
        <v>8</v>
      </c>
      <c r="B10" s="17" t="s">
        <v>12</v>
      </c>
      <c r="C10">
        <v>12000</v>
      </c>
      <c r="D10" t="s">
        <v>53</v>
      </c>
      <c r="F10" s="7"/>
      <c r="G10" s="6" t="s">
        <v>35</v>
      </c>
      <c r="H10" s="9">
        <f>SUM(H8:H9)</f>
        <v>3550</v>
      </c>
      <c r="I10" s="9">
        <f>SUM(I8:I9)</f>
        <v>21600</v>
      </c>
      <c r="J10" s="7" t="s">
        <v>36</v>
      </c>
    </row>
    <row r="11" spans="1:12" x14ac:dyDescent="0.25">
      <c r="F11" s="6" t="s">
        <v>37</v>
      </c>
      <c r="G11" s="7"/>
      <c r="H11" s="9">
        <f>H7-H10</f>
        <v>51142</v>
      </c>
      <c r="I11" s="9">
        <f>I7-I10</f>
        <v>634704</v>
      </c>
      <c r="J11" s="7" t="s">
        <v>38</v>
      </c>
    </row>
    <row r="12" spans="1:12" x14ac:dyDescent="0.25">
      <c r="F12" s="6" t="s">
        <v>39</v>
      </c>
      <c r="G12" s="7" t="s">
        <v>40</v>
      </c>
      <c r="H12" s="8">
        <v>1800</v>
      </c>
      <c r="I12" s="8">
        <v>21600</v>
      </c>
      <c r="J12" s="7" t="s">
        <v>41</v>
      </c>
    </row>
    <row r="13" spans="1:12" x14ac:dyDescent="0.25">
      <c r="F13" s="7"/>
      <c r="G13" s="7" t="s">
        <v>47</v>
      </c>
      <c r="I13" s="4">
        <f>I8</f>
        <v>21600</v>
      </c>
      <c r="J13" s="7" t="s">
        <v>49</v>
      </c>
    </row>
    <row r="14" spans="1:12" x14ac:dyDescent="0.25">
      <c r="F14" s="7"/>
      <c r="G14" s="7" t="s">
        <v>42</v>
      </c>
      <c r="H14" s="7" t="s">
        <v>10</v>
      </c>
      <c r="I14" s="8">
        <v>12000</v>
      </c>
      <c r="J14" s="7" t="s">
        <v>43</v>
      </c>
    </row>
    <row r="15" spans="1:12" x14ac:dyDescent="0.25">
      <c r="G15" s="7" t="s">
        <v>55</v>
      </c>
      <c r="H15" s="7"/>
      <c r="I15" s="8">
        <v>10101</v>
      </c>
      <c r="J15" s="7" t="s">
        <v>45</v>
      </c>
    </row>
    <row r="16" spans="1:12" x14ac:dyDescent="0.25">
      <c r="G16" s="6" t="s">
        <v>44</v>
      </c>
      <c r="H16" s="7" t="s">
        <v>10</v>
      </c>
      <c r="I16" s="9">
        <f>SUM(I11:I15)</f>
        <v>700005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tabSelected="1" workbookViewId="0">
      <selection activeCell="A5" sqref="A5:XFD5"/>
    </sheetView>
  </sheetViews>
  <sheetFormatPr defaultRowHeight="15" x14ac:dyDescent="0.25"/>
  <cols>
    <col min="2" max="2" width="17.42578125" bestFit="1" customWidth="1"/>
    <col min="3" max="3" width="24" bestFit="1" customWidth="1"/>
    <col min="4" max="4" width="26.5703125" bestFit="1" customWidth="1"/>
    <col min="5" max="5" width="22.42578125" bestFit="1" customWidth="1"/>
  </cols>
  <sheetData>
    <row r="1" spans="1:5" x14ac:dyDescent="0.25">
      <c r="A1" s="1" t="s">
        <v>13</v>
      </c>
      <c r="B1" s="1" t="s">
        <v>14</v>
      </c>
      <c r="C1" s="1" t="s">
        <v>15</v>
      </c>
      <c r="D1" s="3" t="s">
        <v>46</v>
      </c>
      <c r="E1" s="1" t="s">
        <v>3</v>
      </c>
    </row>
    <row r="2" spans="1:5" x14ac:dyDescent="0.25">
      <c r="A2" s="2">
        <v>0</v>
      </c>
      <c r="B2" s="12">
        <f>'Current CTC Breakdown'!I16</f>
        <v>700005</v>
      </c>
      <c r="C2" s="18">
        <f>B2/100000</f>
        <v>7.0000499999999999</v>
      </c>
      <c r="D2" s="12">
        <f>'Current CTC Breakdown'!H11</f>
        <v>51142</v>
      </c>
      <c r="E2" s="2"/>
    </row>
    <row r="3" spans="1:5" x14ac:dyDescent="0.25">
      <c r="A3">
        <v>3</v>
      </c>
      <c r="B3" s="13">
        <f>$B$2*(1+A3/100)</f>
        <v>721005.15</v>
      </c>
      <c r="C3" s="13">
        <f>B3/100000</f>
        <v>7.2100515000000005</v>
      </c>
      <c r="D3" s="13">
        <f>$D$2*(1+A3/100)</f>
        <v>52676.26</v>
      </c>
      <c r="E3" t="s">
        <v>16</v>
      </c>
    </row>
    <row r="4" spans="1:5" x14ac:dyDescent="0.25">
      <c r="A4">
        <v>4</v>
      </c>
      <c r="B4" s="13">
        <f t="shared" ref="B4:B15" si="0">$B$2*(1+A4/100)</f>
        <v>728005.20000000007</v>
      </c>
      <c r="C4" s="13">
        <f t="shared" ref="C4:C15" si="1">B4/100000</f>
        <v>7.2800520000000004</v>
      </c>
      <c r="D4" s="13">
        <f t="shared" ref="D4:D15" si="2">$D$2*(1+A4/100)</f>
        <v>53187.68</v>
      </c>
    </row>
    <row r="5" spans="1:5" x14ac:dyDescent="0.25">
      <c r="A5">
        <v>5</v>
      </c>
      <c r="B5" s="13">
        <f t="shared" si="0"/>
        <v>735005.25</v>
      </c>
      <c r="C5" s="13">
        <f t="shared" si="1"/>
        <v>7.3500525000000003</v>
      </c>
      <c r="D5" s="13">
        <f t="shared" si="2"/>
        <v>53699.100000000006</v>
      </c>
    </row>
    <row r="6" spans="1:5" x14ac:dyDescent="0.25">
      <c r="A6">
        <v>10</v>
      </c>
      <c r="B6" s="13">
        <f t="shared" si="0"/>
        <v>770005.50000000012</v>
      </c>
      <c r="C6" s="13">
        <f t="shared" si="1"/>
        <v>7.7000550000000008</v>
      </c>
      <c r="D6" s="13">
        <f t="shared" si="2"/>
        <v>56256.200000000004</v>
      </c>
    </row>
    <row r="7" spans="1:5" x14ac:dyDescent="0.25">
      <c r="A7">
        <v>20</v>
      </c>
      <c r="B7" s="13">
        <f t="shared" si="0"/>
        <v>840006</v>
      </c>
      <c r="C7" s="13">
        <f t="shared" si="1"/>
        <v>8.4000599999999999</v>
      </c>
      <c r="D7" s="13">
        <f t="shared" si="2"/>
        <v>61370.399999999994</v>
      </c>
    </row>
    <row r="8" spans="1:5" x14ac:dyDescent="0.25">
      <c r="A8">
        <v>30</v>
      </c>
      <c r="B8" s="15">
        <f t="shared" si="0"/>
        <v>910006.5</v>
      </c>
      <c r="C8" s="15">
        <f t="shared" si="1"/>
        <v>9.1000650000000007</v>
      </c>
      <c r="D8" s="15">
        <f t="shared" si="2"/>
        <v>66484.600000000006</v>
      </c>
    </row>
    <row r="9" spans="1:5" x14ac:dyDescent="0.25">
      <c r="A9" s="10">
        <v>40</v>
      </c>
      <c r="B9" s="14">
        <f t="shared" si="0"/>
        <v>980006.99999999988</v>
      </c>
      <c r="C9" s="14">
        <f t="shared" si="1"/>
        <v>9.8000699999999981</v>
      </c>
      <c r="D9" s="14">
        <f t="shared" si="2"/>
        <v>71598.799999999988</v>
      </c>
      <c r="E9" s="10"/>
    </row>
    <row r="10" spans="1:5" x14ac:dyDescent="0.25">
      <c r="A10" s="10">
        <v>50</v>
      </c>
      <c r="B10" s="14">
        <f t="shared" si="0"/>
        <v>1050007.5</v>
      </c>
      <c r="C10" s="14">
        <f t="shared" si="1"/>
        <v>10.500075000000001</v>
      </c>
      <c r="D10" s="14">
        <f t="shared" si="2"/>
        <v>76713</v>
      </c>
      <c r="E10" s="10" t="s">
        <v>17</v>
      </c>
    </row>
    <row r="11" spans="1:5" x14ac:dyDescent="0.25">
      <c r="A11" s="10">
        <v>60</v>
      </c>
      <c r="B11" s="14">
        <f t="shared" si="0"/>
        <v>1120008</v>
      </c>
      <c r="C11" s="14">
        <f t="shared" si="1"/>
        <v>11.20008</v>
      </c>
      <c r="D11" s="14">
        <f t="shared" si="2"/>
        <v>81827.200000000012</v>
      </c>
      <c r="E11" s="10"/>
    </row>
    <row r="12" spans="1:5" x14ac:dyDescent="0.25">
      <c r="A12">
        <v>70</v>
      </c>
      <c r="B12" s="13">
        <f t="shared" si="0"/>
        <v>1190008.5</v>
      </c>
      <c r="C12" s="13">
        <f t="shared" si="1"/>
        <v>11.900085000000001</v>
      </c>
      <c r="D12" s="13">
        <f t="shared" si="2"/>
        <v>86941.4</v>
      </c>
    </row>
    <row r="13" spans="1:5" x14ac:dyDescent="0.25">
      <c r="A13">
        <v>80</v>
      </c>
      <c r="B13" s="13">
        <f t="shared" si="0"/>
        <v>1260009</v>
      </c>
      <c r="C13" s="13">
        <f t="shared" si="1"/>
        <v>12.60009</v>
      </c>
      <c r="D13" s="13">
        <f t="shared" si="2"/>
        <v>92055.6</v>
      </c>
    </row>
    <row r="14" spans="1:5" x14ac:dyDescent="0.25">
      <c r="A14">
        <v>90</v>
      </c>
      <c r="B14" s="13">
        <f t="shared" si="0"/>
        <v>1330009.5</v>
      </c>
      <c r="C14" s="13">
        <f t="shared" si="1"/>
        <v>13.300095000000001</v>
      </c>
      <c r="D14" s="13">
        <f t="shared" si="2"/>
        <v>97169.799999999988</v>
      </c>
    </row>
    <row r="15" spans="1:5" x14ac:dyDescent="0.25">
      <c r="A15">
        <v>100</v>
      </c>
      <c r="B15" s="13">
        <f t="shared" si="0"/>
        <v>1400010</v>
      </c>
      <c r="C15" s="13">
        <f t="shared" si="1"/>
        <v>14.0001</v>
      </c>
      <c r="D15" s="13">
        <f t="shared" si="2"/>
        <v>102284</v>
      </c>
      <c r="E15" t="s">
        <v>18</v>
      </c>
    </row>
    <row r="18" ht="8.2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CTC Breakdown</vt:lpstr>
      <vt:lpstr>Salary Growth Projection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Haryish Elangumaran</cp:lastModifiedBy>
  <dcterms:created xsi:type="dcterms:W3CDTF">2025-11-09T15:07:12Z</dcterms:created>
  <dcterms:modified xsi:type="dcterms:W3CDTF">2026-01-24T01:54:46Z</dcterms:modified>
</cp:coreProperties>
</file>